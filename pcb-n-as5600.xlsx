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f4af762c7bc6d/Documents/learnboutparts/pcb-n-as5600/"/>
    </mc:Choice>
  </mc:AlternateContent>
  <xr:revisionPtr revIDLastSave="2" documentId="8_{5D01344B-3917-46CD-A991-A7B58F77BA10}" xr6:coauthVersionLast="47" xr6:coauthVersionMax="47" xr10:uidLastSave="{FD4596DA-E923-4E4C-906E-881F480FA57A}"/>
  <bookViews>
    <workbookView xWindow="9516" yWindow="0" windowWidth="13620" windowHeight="12336" activeTab="1" xr2:uid="{ED4EAEA9-FD12-435C-96C1-3B6C45DB3551}"/>
  </bookViews>
  <sheets>
    <sheet name="pcb-n-as5600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12" i="2" l="1"/>
</calcChain>
</file>

<file path=xl/sharedStrings.xml><?xml version="1.0" encoding="utf-8"?>
<sst xmlns="http://schemas.openxmlformats.org/spreadsheetml/2006/main" count="108" uniqueCount="86">
  <si>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</si>
  <si>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</si>
  <si>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</si>
  <si>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</si>
  <si>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</si>
  <si>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</si>
  <si>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</si>
  <si>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</si>
  <si>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C1,C2,C3,C4,C7,C8,C11,C14</t>
  </si>
  <si>
    <t>100nF</t>
  </si>
  <si>
    <t>Capacitor_SMD:C_0603_1608Metric_Pad1.08x0.95mm_HandSolder</t>
  </si>
  <si>
    <t>~</t>
  </si>
  <si>
    <t>C10</t>
  </si>
  <si>
    <t>20pF</t>
  </si>
  <si>
    <t>C13</t>
  </si>
  <si>
    <t>22pF</t>
  </si>
  <si>
    <t>D1</t>
  </si>
  <si>
    <t>LED</t>
  </si>
  <si>
    <t>H1,H2,H3,H4</t>
  </si>
  <si>
    <t>MountingHole</t>
  </si>
  <si>
    <t>Excluded from BOM</t>
  </si>
  <si>
    <t>MountingHole:MountingHole_3.2mm_M3_Pad</t>
  </si>
  <si>
    <t>J1,J2</t>
  </si>
  <si>
    <t>Conn_01x04_Pin</t>
  </si>
  <si>
    <t>Connector_PinSocket_2.00mm:PinSocket_1x04_P2.00mm_Vertical</t>
  </si>
  <si>
    <t>J6</t>
  </si>
  <si>
    <t>USB_C_Receptacle_USB2.0_14P</t>
  </si>
  <si>
    <t>Connector_USB:USB_C_Receptacle_GCT_USB4105-xx-A_16P_TopMnt_Horizontal</t>
  </si>
  <si>
    <t>https://www.usb.org/sites/default/files/documents/usb_type-c.zip</t>
  </si>
  <si>
    <t>R1,R3,R4,R9</t>
  </si>
  <si>
    <t>10k</t>
  </si>
  <si>
    <t>Resistor_SMD:R_0603_1608Metric_Pad0.98x0.95mm_HandSolder</t>
  </si>
  <si>
    <t>R2,R8,R11</t>
  </si>
  <si>
    <t>5k1</t>
  </si>
  <si>
    <t>R7,R13</t>
  </si>
  <si>
    <t>4.7k</t>
  </si>
  <si>
    <t>R16</t>
  </si>
  <si>
    <t>2.2k</t>
  </si>
  <si>
    <t>S1,S2</t>
  </si>
  <si>
    <t>TS09-63-25-WT-160-SMT-TR</t>
  </si>
  <si>
    <t>TS09-63-25-WT-160-SMT-TR:SW_TS09-63-25-WT-160-SMT-TR</t>
  </si>
  <si>
    <t>U1</t>
  </si>
  <si>
    <t>AMS1117</t>
  </si>
  <si>
    <t>Package_TO_SOT_SMD:SOT-223-3_TabPin2</t>
  </si>
  <si>
    <t>http://www.advanced-monolithic.com/pdf/ds1117.pdf</t>
  </si>
  <si>
    <t>U4</t>
  </si>
  <si>
    <t>AS5600</t>
  </si>
  <si>
    <t>AS5600:SOIC8</t>
  </si>
  <si>
    <t>U5</t>
  </si>
  <si>
    <t>STM32F103C8Tx</t>
  </si>
  <si>
    <t>Package_QFP:LQFP-48_7x7mm_P0.5mm</t>
  </si>
  <si>
    <t>https://www.st.com/resource/en/datasheet/stm32f103c8.pdf</t>
  </si>
  <si>
    <t>Y2</t>
  </si>
  <si>
    <t>8MHz</t>
  </si>
  <si>
    <t>Crystal:Crystal_SMD_HC49-SD</t>
  </si>
  <si>
    <t>Product</t>
  </si>
  <si>
    <t>SKU</t>
  </si>
  <si>
    <t>Quantity</t>
  </si>
  <si>
    <t>Unit Price</t>
  </si>
  <si>
    <t>Amount</t>
  </si>
  <si>
    <t>Link</t>
  </si>
  <si>
    <t>Vendor</t>
  </si>
  <si>
    <t>STM32F103C8TX</t>
  </si>
  <si>
    <t>USB_C_Receptable_USB2.0_14P</t>
  </si>
  <si>
    <t>Capacitors</t>
  </si>
  <si>
    <t>Resistors</t>
  </si>
  <si>
    <t>Switch</t>
  </si>
  <si>
    <t>Crystal Oscillator</t>
  </si>
  <si>
    <t>Mounting Hole</t>
  </si>
  <si>
    <t>https://sharvielectronics.com/product/as5600-12-bit-magnetic-encoder-sensor-module/?srsltid=AfmBOopLD3kcBAguMbwAF6vNIL0KiNEwYuEgTa045MsQERhmEjwYB5gb</t>
  </si>
  <si>
    <t>ST2010SM1805</t>
  </si>
  <si>
    <t>https://sharvielectronics.com/product/stm32f103c8t6-arm-microcontroller-lqfp-48-package/</t>
  </si>
  <si>
    <t>ST2103SD0969</t>
  </si>
  <si>
    <t>https://robu.in/product/ams1117-3-3v-1a-sot-223-voltage-regulator-ic-pack-of-5-ics/?gad_source=1&amp;gad_campaignid=17427802703&amp;gbraid=0AAAAADvLFWfl8if6hvNMNUuoxmtibwOzA&amp;gclid=Cj0KCQiAhtvMBhDBARIsAL26pjETi2vRUSnR9fzH--60Ql53IeD79rQYQ2YAXWO7TnfZj3HzuJknZc0aAlEwEALw_wcB</t>
  </si>
  <si>
    <t>https://robu.in/product/1-month-warranty-1003/?gad_source=1&amp;gad_campaignid=17427802703&amp;gbraid=0AAAAADvLFWfl8if6hvNMNUuoxmtibwOzA&amp;gclid=Cj0KCQiAhtvMBhDBARIsAL26pjF0qUTtY9Ya9r1tk6jiAz737OW9ZTQ_AUxVfriJZohAO9WPlj1wUN8aAsRQEALw_wcB</t>
  </si>
  <si>
    <t>R243050</t>
  </si>
  <si>
    <t>https://robu.in/product/0603-surface-mount-led-orange-50-pcs/?gad_source=1&amp;gad_campaignid=17427802703&amp;gbraid=0AAAAADvLFWfl8if6hvNMNUuoxmtibwOzA&amp;gclid=Cj0KCQiAhtvMBhDBARIsAL26pjHVOfsd4-BPWhUZLQe7xlFrLNnLBRZeSlZggs9krg-HiZPu3t-f0u8aAnWWEALw_wcB</t>
  </si>
  <si>
    <t>0.97 </t>
  </si>
  <si>
    <t>https://robu.in/product/cc0603krx7r8bb103-yageo-cap-smd-mlcc-10000-pf-25-v-0603-1608-metric-%C2%B1-10-x7r-cc-series-pack-of-10/</t>
  </si>
  <si>
    <t>https://robu.in/product/1k-ohm-1-4w-0603-surface-mount-chip-resistor-pack-of-100/?gad_source=1&amp;gad_campaignid=17427802703&amp;gbraid=0AAAAADvLFWfl8if6hvNMNUuoxmtibwOzA&amp;gclid=Cj0KCQiAhtvMBhDBARIsAL26pjHK2HH-sff2romu_82aKRE2UJniaADfgD8J1Pz63CG7kkfy-4yxLA8aAtSyEALw_wcB</t>
  </si>
  <si>
    <t>not included</t>
  </si>
  <si>
    <t>1.63 </t>
  </si>
  <si>
    <t>https://robu.in/product/ts-kg09-at38f-hanbo-50ma-4-5mm-100m%CF%89-12v-250gf-4-5mm-3-8mm-round-button-direct-insert-spst-plugin-tactile-switches-rohs/</t>
  </si>
  <si>
    <t>R196200</t>
  </si>
  <si>
    <t>https://evelta.com/hc-49smd-12-288mhz-20pf-10-ppm-2pad-smd-smt-quartz-crystal/</t>
  </si>
  <si>
    <t>087-H6OSC-STU-12.288M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</si>
</sst>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333E48"/>
      <name val="Arial"/>
      <family val="2"/>
    </font>
    <font>
      <u/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0" borderId="0" xfId="42"/>
    <xf numFmtId="0" fontId="0" fillId="33" borderId="0" xfId="0" applyFont="1" applyFill="1"/>
    <xf numFmtId="0" fontId="0" fillId="0" borderId="0" xfId="0" applyFont="1"/>
    <xf numFmtId="0" fontId="20" fillId="0" borderId="0" xfId="42" applyFont="1"/>
    <xf numFmtId="0" fontId="0" fillId="0" borderId="0" xfId="0" applyFont="1" applyAlignment="1">
      <alignment horizontal="right"/>
    </xf>
    <xf numFmtId="0" fontId="0" fillId="3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21" fillId="0" borderId="0" xfId="0" applyFont="1" applyAlignment="1">
      <alignment horizontal="righ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b.org/sites/default/files/documents/usb_type-c.zi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arvielectronics.com/product/stm32f103c8t6-arm-microcontroller-lqfp-48-package/" TargetMode="External"/><Relationship Id="rId1" Type="http://schemas.openxmlformats.org/officeDocument/2006/relationships/hyperlink" Target="https://sharvielectronics.com/product/as5600-12-bit-magnetic-encoder-sensor-module/?srsltid=AfmBOopLD3kcBAguMbwAF6vNIL0KiNEwYuEgTa045MsQERhmEjwYB5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417C-33CA-4FAC-BFFB-03F49FCC301D}">
  <dimension ref="A1:H17"/>
  <sheetViews>
    <sheetView workbookViewId="0">
      <selection activeCell="G17" sqref="G1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8</v>
      </c>
      <c r="C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1</v>
      </c>
      <c r="C3" t="s">
        <v>13</v>
      </c>
      <c r="G3" t="s">
        <v>10</v>
      </c>
      <c r="H3" t="s">
        <v>11</v>
      </c>
    </row>
    <row r="4" spans="1:8" x14ac:dyDescent="0.3">
      <c r="A4" t="s">
        <v>14</v>
      </c>
      <c r="B4">
        <v>1</v>
      </c>
      <c r="C4" t="s">
        <v>15</v>
      </c>
      <c r="G4" t="s">
        <v>10</v>
      </c>
      <c r="H4" t="s">
        <v>11</v>
      </c>
    </row>
    <row r="5" spans="1:8" x14ac:dyDescent="0.3">
      <c r="A5" t="s">
        <v>16</v>
      </c>
      <c r="B5">
        <v>1</v>
      </c>
      <c r="C5" t="s">
        <v>17</v>
      </c>
      <c r="H5" t="s">
        <v>11</v>
      </c>
    </row>
    <row r="6" spans="1:8" x14ac:dyDescent="0.3">
      <c r="A6" t="s">
        <v>18</v>
      </c>
      <c r="B6">
        <v>4</v>
      </c>
      <c r="C6" t="s">
        <v>19</v>
      </c>
      <c r="E6" t="s">
        <v>20</v>
      </c>
      <c r="G6" t="s">
        <v>21</v>
      </c>
      <c r="H6" t="s">
        <v>11</v>
      </c>
    </row>
    <row r="7" spans="1:8" x14ac:dyDescent="0.3">
      <c r="A7" t="s">
        <v>22</v>
      </c>
      <c r="B7">
        <v>2</v>
      </c>
      <c r="C7" t="s">
        <v>23</v>
      </c>
      <c r="G7" t="s">
        <v>24</v>
      </c>
      <c r="H7" t="s">
        <v>11</v>
      </c>
    </row>
    <row r="8" spans="1:8" x14ac:dyDescent="0.3">
      <c r="A8" t="s">
        <v>25</v>
      </c>
      <c r="B8">
        <v>1</v>
      </c>
      <c r="C8" t="s">
        <v>26</v>
      </c>
      <c r="G8" t="s">
        <v>27</v>
      </c>
      <c r="H8" s="2" t="s">
        <v>28</v>
      </c>
    </row>
    <row r="9" spans="1:8" x14ac:dyDescent="0.3">
      <c r="A9" t="s">
        <v>29</v>
      </c>
      <c r="B9">
        <v>4</v>
      </c>
      <c r="C9" t="s">
        <v>30</v>
      </c>
      <c r="G9" t="s">
        <v>31</v>
      </c>
      <c r="H9" t="s">
        <v>11</v>
      </c>
    </row>
    <row r="10" spans="1:8" x14ac:dyDescent="0.3">
      <c r="A10" t="s">
        <v>32</v>
      </c>
      <c r="B10">
        <v>3</v>
      </c>
      <c r="C10" t="s">
        <v>33</v>
      </c>
      <c r="G10" t="s">
        <v>31</v>
      </c>
      <c r="H10" t="s">
        <v>11</v>
      </c>
    </row>
    <row r="11" spans="1:8" x14ac:dyDescent="0.3">
      <c r="A11" t="s">
        <v>34</v>
      </c>
      <c r="B11">
        <v>2</v>
      </c>
      <c r="C11" t="s">
        <v>35</v>
      </c>
      <c r="G11" t="s">
        <v>31</v>
      </c>
      <c r="H11" t="s">
        <v>11</v>
      </c>
    </row>
    <row r="12" spans="1:8" x14ac:dyDescent="0.3">
      <c r="A12" t="s">
        <v>36</v>
      </c>
      <c r="B12">
        <v>1</v>
      </c>
      <c r="C12" t="s">
        <v>37</v>
      </c>
      <c r="G12" t="s">
        <v>31</v>
      </c>
      <c r="H12" t="s">
        <v>11</v>
      </c>
    </row>
    <row r="13" spans="1:8" x14ac:dyDescent="0.3">
      <c r="A13" t="s">
        <v>38</v>
      </c>
      <c r="B13">
        <v>2</v>
      </c>
      <c r="C13" t="s">
        <v>39</v>
      </c>
      <c r="G13" t="s">
        <v>40</v>
      </c>
    </row>
    <row r="14" spans="1:8" x14ac:dyDescent="0.3">
      <c r="A14" t="s">
        <v>41</v>
      </c>
      <c r="B14">
        <v>1</v>
      </c>
      <c r="C14" t="s">
        <v>42</v>
      </c>
      <c r="G14" t="s">
        <v>43</v>
      </c>
      <c r="H14" t="s">
        <v>44</v>
      </c>
    </row>
    <row r="15" spans="1:8" x14ac:dyDescent="0.3">
      <c r="A15" t="s">
        <v>45</v>
      </c>
      <c r="B15">
        <v>1</v>
      </c>
      <c r="C15" t="s">
        <v>46</v>
      </c>
      <c r="G15" t="s">
        <v>47</v>
      </c>
    </row>
    <row r="16" spans="1:8" x14ac:dyDescent="0.3">
      <c r="A16" t="s">
        <v>48</v>
      </c>
      <c r="B16">
        <v>1</v>
      </c>
      <c r="C16" t="s">
        <v>49</v>
      </c>
      <c r="G16" t="s">
        <v>50</v>
      </c>
      <c r="H16" t="s">
        <v>51</v>
      </c>
    </row>
    <row r="17" spans="1:8" x14ac:dyDescent="0.3">
      <c r="A17" t="s">
        <v>52</v>
      </c>
      <c r="B17">
        <v>1</v>
      </c>
      <c r="C17" t="s">
        <v>53</v>
      </c>
      <c r="G17" t="s">
        <v>54</v>
      </c>
      <c r="H17" t="s">
        <v>11</v>
      </c>
    </row>
  </sheetData>
  <hyperlinks>
    <hyperlink ref="H8" r:id="rId1" xr:uid="{0F8DA767-71DD-40C6-B490-5706F89298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4D9A-5107-499D-994D-2FAE61464880}">
  <dimension ref="A1:G12"/>
  <sheetViews>
    <sheetView tabSelected="1" topLeftCell="B1" workbookViewId="0">
      <selection activeCell="E16" sqref="E16"/>
    </sheetView>
  </sheetViews>
  <sheetFormatPr defaultRowHeight="14.4" x14ac:dyDescent="0.3"/>
  <cols>
    <col min="1" max="1" width="20.77734375" customWidth="1"/>
    <col min="2" max="2" width="20.77734375" style="8" customWidth="1"/>
    <col min="3" max="3" width="20.77734375" customWidth="1"/>
    <col min="4" max="5" width="20.77734375" style="8" customWidth="1"/>
    <col min="6" max="7" width="20.77734375" customWidth="1"/>
  </cols>
  <sheetData>
    <row r="1" spans="1:7" s="1" customFormat="1" x14ac:dyDescent="0.3">
      <c r="A1" s="3" t="s">
        <v>55</v>
      </c>
      <c r="B1" s="7" t="s">
        <v>56</v>
      </c>
      <c r="C1" s="3" t="s">
        <v>57</v>
      </c>
      <c r="D1" s="7" t="s">
        <v>58</v>
      </c>
      <c r="E1" s="7" t="s">
        <v>59</v>
      </c>
      <c r="F1" s="3" t="s">
        <v>60</v>
      </c>
      <c r="G1" s="3" t="s">
        <v>61</v>
      </c>
    </row>
    <row r="2" spans="1:7" x14ac:dyDescent="0.3">
      <c r="A2" s="4" t="s">
        <v>62</v>
      </c>
      <c r="B2" s="6" t="s">
        <v>72</v>
      </c>
      <c r="C2" s="4">
        <v>1</v>
      </c>
      <c r="D2" s="6">
        <v>118.75</v>
      </c>
      <c r="E2" s="6">
        <v>118.75</v>
      </c>
      <c r="F2" s="5" t="s">
        <v>71</v>
      </c>
      <c r="G2" s="4"/>
    </row>
    <row r="3" spans="1:7" x14ac:dyDescent="0.3">
      <c r="A3" s="4" t="s">
        <v>46</v>
      </c>
      <c r="B3" s="6" t="s">
        <v>70</v>
      </c>
      <c r="C3" s="4">
        <v>1</v>
      </c>
      <c r="D3" s="6">
        <v>135.91</v>
      </c>
      <c r="E3" s="6">
        <v>135.91</v>
      </c>
      <c r="F3" s="5" t="s">
        <v>69</v>
      </c>
      <c r="G3" s="4"/>
    </row>
    <row r="4" spans="1:7" x14ac:dyDescent="0.3">
      <c r="A4" s="4" t="s">
        <v>42</v>
      </c>
      <c r="B4" s="6">
        <v>162032</v>
      </c>
      <c r="C4" s="4">
        <v>1</v>
      </c>
      <c r="D4" s="6">
        <v>9</v>
      </c>
      <c r="E4" s="6">
        <v>9</v>
      </c>
      <c r="F4" s="4" t="s">
        <v>73</v>
      </c>
      <c r="G4" s="4"/>
    </row>
    <row r="5" spans="1:7" x14ac:dyDescent="0.3">
      <c r="A5" s="4" t="s">
        <v>63</v>
      </c>
      <c r="B5" s="6" t="s">
        <v>75</v>
      </c>
      <c r="C5" s="4">
        <v>1</v>
      </c>
      <c r="D5" s="6">
        <v>105</v>
      </c>
      <c r="E5" s="6">
        <v>105</v>
      </c>
      <c r="F5" s="4" t="s">
        <v>74</v>
      </c>
      <c r="G5" s="4"/>
    </row>
    <row r="6" spans="1:7" x14ac:dyDescent="0.3">
      <c r="A6" s="4" t="s">
        <v>17</v>
      </c>
      <c r="B6" s="6">
        <v>827881</v>
      </c>
      <c r="C6" s="4">
        <v>1</v>
      </c>
      <c r="D6" s="6" t="s">
        <v>77</v>
      </c>
      <c r="E6" s="6" t="s">
        <v>77</v>
      </c>
      <c r="F6" s="4" t="s">
        <v>76</v>
      </c>
      <c r="G6" s="4"/>
    </row>
    <row r="7" spans="1:7" x14ac:dyDescent="0.3">
      <c r="A7" s="4" t="s">
        <v>64</v>
      </c>
      <c r="B7" s="9">
        <v>1547051</v>
      </c>
      <c r="C7" s="4">
        <v>10</v>
      </c>
      <c r="D7" s="6">
        <v>2.08</v>
      </c>
      <c r="E7" s="6">
        <v>20.8</v>
      </c>
      <c r="F7" s="4" t="s">
        <v>78</v>
      </c>
      <c r="G7" s="4"/>
    </row>
    <row r="8" spans="1:7" x14ac:dyDescent="0.3">
      <c r="A8" s="4" t="s">
        <v>65</v>
      </c>
      <c r="B8" s="9">
        <v>572261</v>
      </c>
      <c r="C8" s="4">
        <v>10</v>
      </c>
      <c r="D8" s="6">
        <v>0.35</v>
      </c>
      <c r="E8" s="6">
        <v>3.5</v>
      </c>
      <c r="F8" s="4" t="s">
        <v>79</v>
      </c>
      <c r="G8" s="4"/>
    </row>
    <row r="9" spans="1:7" x14ac:dyDescent="0.3">
      <c r="A9" s="4" t="s">
        <v>66</v>
      </c>
      <c r="B9" s="9" t="s">
        <v>83</v>
      </c>
      <c r="C9" s="4">
        <v>2</v>
      </c>
      <c r="D9" s="6" t="s">
        <v>81</v>
      </c>
      <c r="E9" s="6">
        <v>3.26</v>
      </c>
      <c r="F9" s="4" t="s">
        <v>82</v>
      </c>
      <c r="G9" s="4"/>
    </row>
    <row r="10" spans="1:7" x14ac:dyDescent="0.3">
      <c r="A10" s="4" t="s">
        <v>67</v>
      </c>
      <c r="B10" s="10" t="s">
        <v>85</v>
      </c>
      <c r="C10" s="4">
        <v>1</v>
      </c>
      <c r="D10" s="6">
        <v>11.89</v>
      </c>
      <c r="E10" s="6">
        <v>11.89</v>
      </c>
      <c r="F10" s="4" t="s">
        <v>84</v>
      </c>
      <c r="G10" s="4"/>
    </row>
    <row r="11" spans="1:7" x14ac:dyDescent="0.3">
      <c r="A11" s="4" t="s">
        <v>68</v>
      </c>
      <c r="B11" s="6" t="s">
        <v>80</v>
      </c>
      <c r="C11" s="4">
        <v>4</v>
      </c>
      <c r="D11" s="6" t="s">
        <v>80</v>
      </c>
      <c r="E11" s="6" t="s">
        <v>80</v>
      </c>
      <c r="F11" s="4" t="s">
        <v>80</v>
      </c>
      <c r="G11" s="4"/>
    </row>
    <row r="12" spans="1:7" x14ac:dyDescent="0.3">
      <c r="E12" s="8">
        <f>SUM(E2:E10)</f>
        <v>408.10999999999996</v>
      </c>
    </row>
  </sheetData>
  <hyperlinks>
    <hyperlink ref="F3" r:id="rId1" xr:uid="{382BA505-9D0A-4D3A-B090-D2793A0CD160}"/>
    <hyperlink ref="F2" r:id="rId2" xr:uid="{20E79464-43CE-43BA-92B9-DEB2939E7FB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pcb-n-as5600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Khuntia</dc:creator>
  <cp:lastModifiedBy>Smriti Khuntia</cp:lastModifiedBy>
  <dcterms:created xsi:type="dcterms:W3CDTF">2026-02-19T12:06:11Z</dcterms:created>
  <dcterms:modified xsi:type="dcterms:W3CDTF">2026-02-19T12:06:57Z</dcterms:modified>
</cp:coreProperties>
</file>